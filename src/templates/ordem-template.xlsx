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1" sheetId="1" r:id="rId4"/>
    <sheet state="hidden" name="02" sheetId="2" r:id="rId5"/>
    <sheet state="visible" name="001" sheetId="3" r:id="rId6"/>
  </sheets>
  <definedNames/>
  <calcPr/>
  <extLst>
    <ext uri="GoogleSheetsCustomDataVersion2">
      <go:sheetsCustomData xmlns:go="http://customooxmlschemas.google.com/" r:id="rId7" roundtripDataChecksum="c3BpRE2GlLx8piMVFPD+SpFjS4IA9A285r+wA0CjCaw="/>
    </ext>
  </extLst>
</workbook>
</file>

<file path=xl/sharedStrings.xml><?xml version="1.0" encoding="utf-8"?>
<sst xmlns="http://schemas.openxmlformats.org/spreadsheetml/2006/main" count="100" uniqueCount="43">
  <si>
    <t>PREFEITURA MUNICIPAL DE COELHO NETO</t>
  </si>
  <si>
    <t>OF  Ordem de Fornecimento.</t>
  </si>
  <si>
    <t>Data:</t>
  </si>
  <si>
    <t>05.04.2021</t>
  </si>
  <si>
    <t xml:space="preserve"> De:</t>
  </si>
  <si>
    <t xml:space="preserve"> Para:</t>
  </si>
  <si>
    <t>SECRETARIA MUNICIPAL DE EDUCAÇÃO</t>
  </si>
  <si>
    <t>POSTO SANT'ANA LTDA</t>
  </si>
  <si>
    <t>Sr. 
Solicitamoso a empresa  o Fornecimento abaixo,  conforme discriminação dos itens abaixo.</t>
  </si>
  <si>
    <t>SERVIÇOS / OBRAS DE ENGENHARIA</t>
  </si>
  <si>
    <t>AQUIS. BENS / MAT. DE CONSUMO</t>
  </si>
  <si>
    <t>OUTROS  (Diárias; Passagens; etc.)</t>
  </si>
  <si>
    <t>DADOS DO FAVORECIDO</t>
  </si>
  <si>
    <t>PROCESSO LICITATÓRIO</t>
  </si>
  <si>
    <t xml:space="preserve"> Nome / Razão Social:</t>
  </si>
  <si>
    <t>DISPENSA DE LICITAÇÃO</t>
  </si>
  <si>
    <t>INEXIGIBILIDADE DE LICITAÇÃO</t>
  </si>
  <si>
    <t xml:space="preserve"> Endereço:</t>
  </si>
  <si>
    <t xml:space="preserve"> CPF / CNPJ:</t>
  </si>
  <si>
    <t>CONC. PÚBLICA Nº.</t>
  </si>
  <si>
    <t>AV. COELHO NETO, 1045, BOM SUCESSO, COELHO NETO - MA, CEP: 65.620-000</t>
  </si>
  <si>
    <t>13.159.517/0001-70</t>
  </si>
  <si>
    <t>PREGÃO ELETRÔNICO Nº 009/2021</t>
  </si>
  <si>
    <t>CONTRATO Nº 027 DE 30 DE MARÇO DE 2021</t>
  </si>
  <si>
    <t>OUTROS</t>
  </si>
  <si>
    <t>ID</t>
  </si>
  <si>
    <t>DISCRIMINAÇÃO</t>
  </si>
  <si>
    <t>UND</t>
  </si>
  <si>
    <t>QUANT.</t>
  </si>
  <si>
    <t>VL. UNITÁRIO</t>
  </si>
  <si>
    <t>VL. TOTAL</t>
  </si>
  <si>
    <t>ÓLEO DIESEL B S10</t>
  </si>
  <si>
    <t>LT</t>
  </si>
  <si>
    <t>TOTAL R$</t>
  </si>
  <si>
    <t xml:space="preserve"> Justificativa / Finalidade / Período de Referência: </t>
  </si>
  <si>
    <t>FORNECIMENTO DE COMBUSTÍVEL, PARA ATENDER AS NECESSIDADES DA SECRETARIA MUNICIPAL DE EDUCAÇÃO.</t>
  </si>
  <si>
    <t xml:space="preserve">Carimbo a Assinatura do Requerente </t>
  </si>
  <si>
    <t>Carimbo e Assinatura do Secretário</t>
  </si>
  <si>
    <t>Sr. 
Solicitamoso a empresa  o Fornecimento abaixo, conforme discriminação dos itens abaixo.</t>
  </si>
  <si>
    <t>SECRETARIA MUNICIPAL DE GESTÃO E ORÇAMENTO.</t>
  </si>
  <si>
    <t>Sr. 
Solicitamoso a empresa o fornecimento abaixo, conforme discriminação dos itens abaixo.</t>
  </si>
  <si>
    <t>RUA DEP. RAIMUNDO BACELAR,421, CENTRO, COELHO NETO-</t>
  </si>
  <si>
    <t>S. T. BORBA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</si>
</sst>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 Número: &quot;@"/>
    <numFmt numFmtId="165" formatCode="000"/>
    <numFmt numFmtId="166" formatCode="&quot;DATA: &quot;dd/mm/yyyy"/>
    <numFmt numFmtId="167" formatCode="&quot;R$&quot; #,##0.00"/>
    <numFmt numFmtId="168" formatCode="&quot;R$&quot; #,##0.00;[Red]-&quot;R$&quot; #,##0.00"/>
  </numFmts>
  <fonts count="22">
    <font>
      <sz val="11.0"/>
      <color theme="1"/>
      <name val="Calibri"/>
      <scheme val="minor"/>
    </font>
    <font>
      <sz val="12.0"/>
      <color theme="1"/>
      <name val="Trebuchet MS"/>
    </font>
    <font>
      <sz val="8.0"/>
      <color theme="1"/>
      <name val="Arial"/>
    </font>
    <font>
      <b/>
      <sz val="12.0"/>
      <color theme="1"/>
      <name val="Trebuchet MS"/>
    </font>
    <font/>
    <font>
      <b/>
      <i/>
      <sz val="32.0"/>
      <color theme="1"/>
      <name val="Arial"/>
    </font>
    <font>
      <b/>
      <sz val="12.0"/>
      <color rgb="FFFF0000"/>
      <name val="Trebuchet MS"/>
    </font>
    <font>
      <b/>
      <sz val="10.0"/>
      <color theme="1"/>
      <name val="Trebuchet MS"/>
    </font>
    <font>
      <b/>
      <sz val="12.0"/>
      <color theme="1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sz val="10.0"/>
      <color theme="1"/>
      <name val="Arial Black"/>
    </font>
    <font>
      <sz val="10.0"/>
      <color theme="1"/>
      <name val="Trebuchet MS"/>
    </font>
    <font>
      <sz val="8.0"/>
      <color theme="1"/>
      <name val="Trebuchet MS"/>
    </font>
    <font>
      <sz val="11.0"/>
      <color theme="1"/>
      <name val="Times New Roman"/>
    </font>
    <font>
      <sz val="9.0"/>
      <color theme="1"/>
      <name val="Trebuchet MS"/>
    </font>
    <font>
      <sz val="12.0"/>
      <color rgb="FF000000"/>
      <name val="Trebuchet MS"/>
    </font>
    <font>
      <b/>
      <sz val="12.0"/>
      <color rgb="FF0000FF"/>
      <name val="Trebuchet MS"/>
    </font>
    <font>
      <b/>
      <i/>
      <sz val="26.0"/>
      <color theme="1"/>
      <name val="Arial"/>
    </font>
    <font>
      <b/>
      <sz val="14.0"/>
      <color theme="1"/>
      <name val="Times New Roman"/>
    </font>
    <font>
      <b/>
      <sz val="18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4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bottom"/>
    </xf>
    <xf borderId="8" fillId="0" fontId="4" numFmtId="0" xfId="0" applyBorder="1" applyFont="1"/>
    <xf borderId="9" fillId="0" fontId="4" numFmtId="0" xfId="0" applyBorder="1" applyFont="1"/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4" numFmtId="0" xfId="0" applyBorder="1" applyFont="1"/>
    <xf borderId="13" fillId="0" fontId="5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1" numFmtId="0" xfId="0" applyAlignment="1" applyBorder="1" applyFont="1">
      <alignment vertical="center"/>
    </xf>
    <xf borderId="17" fillId="0" fontId="4" numFmtId="0" xfId="0" applyBorder="1" applyFont="1"/>
    <xf borderId="18" fillId="0" fontId="6" numFmtId="164" xfId="0" applyAlignment="1" applyBorder="1" applyFont="1" applyNumberFormat="1">
      <alignment horizontal="left" vertical="top"/>
    </xf>
    <xf borderId="18" fillId="0" fontId="1" numFmtId="0" xfId="0" applyAlignment="1" applyBorder="1" applyFont="1">
      <alignment vertical="top"/>
    </xf>
    <xf borderId="18" fillId="0" fontId="1" numFmtId="0" xfId="0" applyAlignment="1" applyBorder="1" applyFont="1">
      <alignment horizontal="right" vertical="top"/>
    </xf>
    <xf borderId="17" fillId="0" fontId="3" numFmtId="14" xfId="0" applyAlignment="1" applyBorder="1" applyFont="1" applyNumberFormat="1">
      <alignment horizontal="center" vertical="top"/>
    </xf>
    <xf borderId="5" fillId="0" fontId="7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6" fillId="0" fontId="8" numFmtId="49" xfId="0" applyAlignment="1" applyBorder="1" applyFont="1" applyNumberFormat="1">
      <alignment horizontal="center" vertical="top"/>
    </xf>
    <xf borderId="18" fillId="0" fontId="4" numFmtId="0" xfId="0" applyBorder="1" applyFont="1"/>
    <xf borderId="16" fillId="0" fontId="9" numFmtId="49" xfId="0" applyAlignment="1" applyBorder="1" applyFont="1" applyNumberFormat="1">
      <alignment horizontal="center" vertical="top"/>
    </xf>
    <xf borderId="5" fillId="0" fontId="10" numFmtId="49" xfId="0" applyAlignment="1" applyBorder="1" applyFont="1" applyNumberFormat="1">
      <alignment horizontal="left" shrinkToFit="0" vertical="top" wrapText="1"/>
    </xf>
    <xf borderId="19" fillId="0" fontId="4" numFmtId="0" xfId="0" applyBorder="1" applyFont="1"/>
    <xf borderId="6" fillId="0" fontId="4" numFmtId="0" xfId="0" applyBorder="1" applyFont="1"/>
    <xf borderId="19" fillId="0" fontId="1" numFmtId="49" xfId="0" applyAlignment="1" applyBorder="1" applyFont="1" applyNumberFormat="1">
      <alignment vertical="center"/>
    </xf>
    <xf borderId="11" fillId="0" fontId="4" numFmtId="0" xfId="0" applyBorder="1" applyFont="1"/>
    <xf borderId="0" fillId="0" fontId="11" numFmtId="49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12" fillId="0" fontId="1" numFmtId="0" xfId="0" applyAlignment="1" applyBorder="1" applyFont="1">
      <alignment vertical="center"/>
    </xf>
    <xf borderId="16" fillId="0" fontId="4" numFmtId="0" xfId="0" applyBorder="1" applyFont="1"/>
    <xf borderId="18" fillId="0" fontId="1" numFmtId="49" xfId="0" applyAlignment="1" applyBorder="1" applyFont="1" applyNumberFormat="1">
      <alignment vertical="center"/>
    </xf>
    <xf borderId="18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0" fillId="0" fontId="10" numFmtId="0" xfId="0" applyAlignment="1" applyFont="1">
      <alignment horizontal="left" shrinkToFit="0" vertical="top" wrapText="1"/>
    </xf>
    <xf borderId="0" fillId="0" fontId="1" numFmtId="49" xfId="0" applyAlignment="1" applyFont="1" applyNumberFormat="1">
      <alignment vertical="center"/>
    </xf>
    <xf borderId="7" fillId="0" fontId="3" numFmtId="0" xfId="0" applyAlignment="1" applyBorder="1" applyFont="1">
      <alignment horizontal="center" vertical="center"/>
    </xf>
    <xf borderId="7" fillId="0" fontId="3" numFmtId="49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vertical="center"/>
    </xf>
    <xf borderId="14" fillId="0" fontId="12" numFmtId="0" xfId="0" applyAlignment="1" applyBorder="1" applyFont="1">
      <alignment shrinkToFit="0" vertical="top" wrapText="1"/>
    </xf>
    <xf borderId="15" fillId="0" fontId="12" numFmtId="0" xfId="0" applyAlignment="1" applyBorder="1" applyFont="1">
      <alignment shrinkToFit="0" vertical="top" wrapText="1"/>
    </xf>
    <xf borderId="0" fillId="0" fontId="13" numFmtId="0" xfId="0" applyAlignment="1" applyFont="1">
      <alignment vertical="center"/>
    </xf>
    <xf borderId="6" fillId="0" fontId="12" numFmtId="0" xfId="0" applyAlignment="1" applyBorder="1" applyFont="1">
      <alignment shrinkToFit="0" vertical="top" wrapText="1"/>
    </xf>
    <xf borderId="12" fillId="0" fontId="12" numFmtId="0" xfId="0" applyAlignment="1" applyBorder="1" applyFont="1">
      <alignment shrinkToFit="0" vertical="top" wrapText="1"/>
    </xf>
    <xf borderId="12" fillId="0" fontId="1" numFmtId="49" xfId="0" applyAlignment="1" applyBorder="1" applyFont="1" applyNumberFormat="1">
      <alignment horizontal="center" vertical="center"/>
    </xf>
    <xf borderId="11" fillId="0" fontId="14" numFmtId="49" xfId="0" applyAlignment="1" applyBorder="1" applyFont="1" applyNumberFormat="1">
      <alignment horizontal="center" shrinkToFit="0" vertical="center" wrapText="1"/>
    </xf>
    <xf borderId="16" fillId="0" fontId="10" numFmtId="49" xfId="0" applyAlignment="1" applyBorder="1" applyFont="1" applyNumberFormat="1">
      <alignment horizontal="center" shrinkToFit="0" vertical="top" wrapText="1"/>
    </xf>
    <xf borderId="0" fillId="0" fontId="15" numFmtId="0" xfId="0" applyAlignment="1" applyFont="1">
      <alignment vertical="center"/>
    </xf>
    <xf borderId="20" fillId="0" fontId="15" numFmtId="49" xfId="0" applyAlignment="1" applyBorder="1" applyFont="1" applyNumberFormat="1">
      <alignment horizontal="center" shrinkToFit="0" vertical="center" wrapText="1"/>
    </xf>
    <xf borderId="21" fillId="0" fontId="4" numFmtId="0" xfId="0" applyBorder="1" applyFont="1"/>
    <xf borderId="18" fillId="0" fontId="11" numFmtId="49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vertical="center"/>
    </xf>
    <xf borderId="17" fillId="0" fontId="1" numFmtId="49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4" numFmtId="0" xfId="0" applyBorder="1" applyFont="1"/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27" fillId="0" fontId="1" numFmtId="49" xfId="0" applyAlignment="1" applyBorder="1" applyFont="1" applyNumberFormat="1">
      <alignment horizontal="left" vertical="center"/>
    </xf>
    <xf borderId="28" fillId="0" fontId="4" numFmtId="0" xfId="0" applyBorder="1" applyFont="1"/>
    <xf borderId="29" fillId="0" fontId="1" numFmtId="49" xfId="0" applyAlignment="1" applyBorder="1" applyFont="1" applyNumberFormat="1">
      <alignment horizontal="center" vertical="center"/>
    </xf>
    <xf borderId="30" fillId="0" fontId="1" numFmtId="3" xfId="0" applyAlignment="1" applyBorder="1" applyFont="1" applyNumberFormat="1">
      <alignment horizontal="center" vertical="center"/>
    </xf>
    <xf borderId="30" fillId="0" fontId="1" numFmtId="43" xfId="0" applyAlignment="1" applyBorder="1" applyFont="1" applyNumberFormat="1">
      <alignment vertical="center"/>
    </xf>
    <xf borderId="31" fillId="0" fontId="1" numFmtId="43" xfId="0" applyAlignment="1" applyBorder="1" applyFont="1" applyNumberFormat="1">
      <alignment vertical="center"/>
    </xf>
    <xf borderId="32" fillId="0" fontId="16" numFmtId="0" xfId="0" applyAlignment="1" applyBorder="1" applyFont="1">
      <alignment horizontal="left" shrinkToFit="0" vertical="center" wrapText="1"/>
    </xf>
    <xf borderId="29" fillId="0" fontId="1" numFmtId="49" xfId="0" applyAlignment="1" applyBorder="1" applyFont="1" applyNumberFormat="1">
      <alignment horizontal="left" vertical="center"/>
    </xf>
    <xf borderId="32" fillId="0" fontId="16" numFmtId="0" xfId="0" applyAlignment="1" applyBorder="1" applyFont="1">
      <alignment horizontal="left" vertical="center"/>
    </xf>
    <xf borderId="30" fillId="0" fontId="1" numFmtId="49" xfId="0" applyAlignment="1" applyBorder="1" applyFont="1" applyNumberFormat="1">
      <alignment horizontal="center" vertical="center"/>
    </xf>
    <xf borderId="32" fillId="0" fontId="1" numFmtId="49" xfId="0" applyAlignment="1" applyBorder="1" applyFont="1" applyNumberFormat="1">
      <alignment horizontal="left" vertical="center"/>
    </xf>
    <xf borderId="29" fillId="0" fontId="4" numFmtId="0" xfId="0" applyBorder="1" applyFont="1"/>
    <xf borderId="33" fillId="0" fontId="1" numFmtId="43" xfId="0" applyAlignment="1" applyBorder="1" applyFont="1" applyNumberFormat="1">
      <alignment vertical="center"/>
    </xf>
    <xf borderId="20" fillId="0" fontId="1" numFmtId="0" xfId="0" applyAlignment="1" applyBorder="1" applyFont="1">
      <alignment horizontal="center" vertical="center"/>
    </xf>
    <xf borderId="34" fillId="0" fontId="4" numFmtId="0" xfId="0" applyBorder="1" applyFont="1"/>
    <xf borderId="35" fillId="0" fontId="3" numFmtId="0" xfId="0" applyAlignment="1" applyBorder="1" applyFont="1">
      <alignment horizontal="center" vertical="center"/>
    </xf>
    <xf borderId="36" fillId="0" fontId="3" numFmtId="43" xfId="0" applyAlignment="1" applyBorder="1" applyFont="1" applyNumberFormat="1">
      <alignment vertical="center"/>
    </xf>
    <xf borderId="5" fillId="0" fontId="7" numFmtId="0" xfId="0" applyAlignment="1" applyBorder="1" applyFont="1">
      <alignment horizontal="left" vertical="center"/>
    </xf>
    <xf borderId="16" fillId="0" fontId="1" numFmtId="49" xfId="0" applyAlignment="1" applyBorder="1" applyFont="1" applyNumberFormat="1">
      <alignment horizontal="left" shrinkToFit="0" vertical="center" wrapText="1"/>
    </xf>
    <xf borderId="37" fillId="0" fontId="7" numFmtId="166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4" numFmtId="0" xfId="0" applyBorder="1" applyFont="1"/>
    <xf borderId="16" fillId="0" fontId="1" numFmtId="49" xfId="0" applyAlignment="1" applyBorder="1" applyFont="1" applyNumberFormat="1">
      <alignment horizontal="center" vertical="top"/>
    </xf>
    <xf borderId="16" fillId="0" fontId="7" numFmtId="0" xfId="0" applyAlignment="1" applyBorder="1" applyFont="1">
      <alignment horizontal="center" vertical="center"/>
    </xf>
    <xf borderId="18" fillId="0" fontId="1" numFmtId="49" xfId="0" applyAlignment="1" applyBorder="1" applyFont="1" applyNumberFormat="1">
      <alignment horizontal="center" vertical="center"/>
    </xf>
    <xf borderId="40" fillId="0" fontId="1" numFmtId="0" xfId="0" applyAlignment="1" applyBorder="1" applyFont="1">
      <alignment vertical="center"/>
    </xf>
    <xf borderId="41" fillId="0" fontId="1" numFmtId="0" xfId="0" applyAlignment="1" applyBorder="1" applyFont="1">
      <alignment vertical="center"/>
    </xf>
    <xf borderId="42" fillId="0" fontId="1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6" numFmtId="0" xfId="0" applyAlignment="1" applyFont="1">
      <alignment vertical="center"/>
    </xf>
    <xf borderId="32" fillId="0" fontId="1" numFmtId="3" xfId="0" applyAlignment="1" applyBorder="1" applyFont="1" applyNumberFormat="1">
      <alignment horizontal="center" vertical="center"/>
    </xf>
    <xf borderId="12" fillId="0" fontId="1" numFmtId="43" xfId="0" applyAlignment="1" applyBorder="1" applyFont="1" applyNumberFormat="1">
      <alignment vertical="center"/>
    </xf>
    <xf borderId="0" fillId="0" fontId="1" numFmtId="167" xfId="0" applyAlignment="1" applyFont="1" applyNumberFormat="1">
      <alignment vertical="center"/>
    </xf>
    <xf borderId="43" fillId="0" fontId="1" numFmtId="43" xfId="0" applyAlignment="1" applyBorder="1" applyFont="1" applyNumberFormat="1">
      <alignment vertical="center"/>
    </xf>
    <xf borderId="0" fillId="0" fontId="1" numFmtId="43" xfId="0" applyAlignment="1" applyFont="1" applyNumberFormat="1">
      <alignment vertical="center"/>
    </xf>
    <xf borderId="13" fillId="0" fontId="18" numFmtId="0" xfId="0" applyAlignment="1" applyBorder="1" applyFont="1">
      <alignment horizontal="center" vertical="center"/>
    </xf>
    <xf borderId="16" fillId="0" fontId="19" numFmtId="49" xfId="0" applyAlignment="1" applyBorder="1" applyFont="1" applyNumberFormat="1">
      <alignment horizontal="center" vertical="top"/>
    </xf>
    <xf borderId="16" fillId="0" fontId="20" numFmtId="49" xfId="0" applyAlignment="1" applyBorder="1" applyFont="1" applyNumberFormat="1">
      <alignment horizontal="center" vertical="top"/>
    </xf>
    <xf borderId="5" fillId="0" fontId="10" numFmtId="49" xfId="0" applyAlignment="1" applyBorder="1" applyFont="1" applyNumberFormat="1">
      <alignment horizontal="left" readingOrder="1" shrinkToFit="0" vertical="top" wrapText="1"/>
    </xf>
    <xf borderId="16" fillId="0" fontId="14" numFmtId="49" xfId="0" applyAlignment="1" applyBorder="1" applyFont="1" applyNumberFormat="1">
      <alignment horizontal="center" shrinkToFit="0" vertical="top" wrapText="1"/>
    </xf>
    <xf borderId="44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7" fillId="0" fontId="21" numFmtId="0" xfId="0" applyAlignment="1" applyBorder="1" applyFont="1">
      <alignment horizontal="center" vertical="center"/>
    </xf>
    <xf borderId="27" fillId="0" fontId="21" numFmtId="0" xfId="0" applyAlignment="1" applyBorder="1" applyFont="1">
      <alignment horizontal="left" shrinkToFit="0" vertical="center" wrapText="1"/>
    </xf>
    <xf borderId="14" fillId="0" fontId="21" numFmtId="0" xfId="0" applyAlignment="1" applyBorder="1" applyFont="1">
      <alignment horizontal="center" shrinkToFit="0" vertical="center" wrapText="1"/>
    </xf>
    <xf borderId="44" fillId="0" fontId="21" numFmtId="0" xfId="0" applyAlignment="1" applyBorder="1" applyFont="1">
      <alignment horizontal="center" shrinkToFit="0" vertical="center" wrapText="1"/>
    </xf>
    <xf borderId="44" fillId="0" fontId="21" numFmtId="168" xfId="0" applyAlignment="1" applyBorder="1" applyFont="1" applyNumberFormat="1">
      <alignment horizontal="center" vertical="center"/>
    </xf>
    <xf borderId="28" fillId="0" fontId="21" numFmtId="43" xfId="0" applyAlignment="1" applyBorder="1" applyFont="1" applyNumberFormat="1">
      <alignment horizontal="center" vertical="center"/>
    </xf>
    <xf borderId="32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30" fillId="0" fontId="21" numFmtId="0" xfId="0" applyAlignment="1" applyBorder="1" applyFont="1">
      <alignment horizontal="center" shrinkToFit="0" vertical="center" wrapText="1"/>
    </xf>
    <xf borderId="30" fillId="0" fontId="21" numFmtId="168" xfId="0" applyAlignment="1" applyBorder="1" applyFont="1" applyNumberFormat="1">
      <alignment horizontal="right" vertical="center"/>
    </xf>
    <xf borderId="29" fillId="0" fontId="21" numFmtId="43" xfId="0" applyAlignment="1" applyBorder="1" applyFont="1" applyNumberFormat="1">
      <alignment vertical="center"/>
    </xf>
    <xf borderId="29" fillId="0" fontId="21" numFmtId="0" xfId="0" applyAlignment="1" applyBorder="1" applyFont="1">
      <alignment horizontal="left" shrinkToFit="0" vertical="center" wrapText="1"/>
    </xf>
    <xf borderId="32" fillId="0" fontId="21" numFmtId="0" xfId="0" applyAlignment="1" applyBorder="1" applyFont="1">
      <alignment horizontal="center" shrinkToFit="0" vertical="center" wrapText="1"/>
    </xf>
    <xf borderId="45" fillId="0" fontId="21" numFmtId="0" xfId="0" applyAlignment="1" applyBorder="1" applyFont="1">
      <alignment horizontal="center" vertical="center"/>
    </xf>
    <xf borderId="45" fillId="0" fontId="21" numFmtId="0" xfId="0" applyAlignment="1" applyBorder="1" applyFont="1">
      <alignment horizontal="left" shrinkToFit="0" vertical="center" wrapText="1"/>
    </xf>
    <xf borderId="46" fillId="0" fontId="4" numFmtId="0" xfId="0" applyBorder="1" applyFont="1"/>
    <xf borderId="47" fillId="0" fontId="21" numFmtId="0" xfId="0" applyAlignment="1" applyBorder="1" applyFont="1">
      <alignment horizontal="center" shrinkToFit="0" vertical="center" wrapText="1"/>
    </xf>
    <xf borderId="43" fillId="0" fontId="21" numFmtId="0" xfId="0" applyAlignment="1" applyBorder="1" applyFont="1">
      <alignment horizontal="center" shrinkToFit="0" vertical="center" wrapText="1"/>
    </xf>
    <xf borderId="43" fillId="0" fontId="21" numFmtId="168" xfId="0" applyAlignment="1" applyBorder="1" applyFont="1" applyNumberFormat="1">
      <alignment horizontal="right" vertical="center"/>
    </xf>
    <xf borderId="46" fillId="0" fontId="21" numFmtId="43" xfId="0" applyAlignment="1" applyBorder="1" applyFont="1" applyNumberFormat="1">
      <alignment vertical="center"/>
    </xf>
    <xf borderId="47" fillId="0" fontId="4" numFmtId="0" xfId="0" applyBorder="1" applyFont="1"/>
    <xf borderId="47" fillId="0" fontId="8" numFmtId="0" xfId="0" applyAlignment="1" applyBorder="1" applyFont="1">
      <alignment horizontal="center" vertical="center"/>
    </xf>
    <xf borderId="43" fillId="0" fontId="19" numFmtId="43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2</xdr:row>
      <xdr:rowOff>152400</xdr:rowOff>
    </xdr:from>
    <xdr:ext cx="2686050" cy="704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2</xdr:row>
      <xdr:rowOff>152400</xdr:rowOff>
    </xdr:from>
    <xdr:ext cx="2686050" cy="704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85725</xdr:rowOff>
    </xdr:from>
    <xdr:ext cx="2905125" cy="752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.0"/>
    <col customWidth="1" min="3" max="3" width="5.29"/>
    <col customWidth="1" min="4" max="4" width="39.71"/>
    <col customWidth="1" min="5" max="5" width="36.71"/>
    <col customWidth="1" min="6" max="6" width="8.43"/>
    <col customWidth="1" min="7" max="7" width="9.86"/>
    <col customWidth="1" min="8" max="9" width="16.71"/>
    <col customWidth="1" min="10" max="10" width="1.14"/>
    <col customWidth="1" min="11" max="26" width="8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.0" customHeight="1">
      <c r="A2" s="1"/>
      <c r="B2" s="2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5"/>
      <c r="C3" s="6"/>
      <c r="D3" s="7"/>
      <c r="E3" s="8" t="s">
        <v>0</v>
      </c>
      <c r="F3" s="9"/>
      <c r="G3" s="9"/>
      <c r="H3" s="9"/>
      <c r="I3" s="10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"/>
      <c r="B4" s="5"/>
      <c r="C4" s="12"/>
      <c r="D4" s="13"/>
      <c r="E4" s="14" t="s">
        <v>1</v>
      </c>
      <c r="F4" s="15"/>
      <c r="G4" s="15"/>
      <c r="H4" s="15"/>
      <c r="I4" s="16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5"/>
      <c r="C5" s="17"/>
      <c r="D5" s="18"/>
      <c r="E5" s="19"/>
      <c r="F5" s="20"/>
      <c r="G5" s="20"/>
      <c r="H5" s="21" t="s">
        <v>2</v>
      </c>
      <c r="I5" s="22" t="s">
        <v>3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.0" customHeight="1">
      <c r="A6" s="1"/>
      <c r="B6" s="5"/>
      <c r="C6" s="1"/>
      <c r="D6" s="1"/>
      <c r="E6" s="1"/>
      <c r="F6" s="1"/>
      <c r="G6" s="1"/>
      <c r="H6" s="1"/>
      <c r="I6" s="1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5"/>
      <c r="C7" s="23" t="s">
        <v>4</v>
      </c>
      <c r="D7" s="24"/>
      <c r="E7" s="25"/>
      <c r="F7" s="23" t="s">
        <v>5</v>
      </c>
      <c r="G7" s="24"/>
      <c r="H7" s="24"/>
      <c r="I7" s="25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5"/>
      <c r="C8" s="26" t="s">
        <v>6</v>
      </c>
      <c r="D8" s="27"/>
      <c r="E8" s="18"/>
      <c r="F8" s="28" t="s">
        <v>7</v>
      </c>
      <c r="G8" s="27"/>
      <c r="H8" s="27"/>
      <c r="I8" s="18"/>
      <c r="J8" s="1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.0" customHeight="1">
      <c r="A9" s="1"/>
      <c r="B9" s="5"/>
      <c r="C9" s="1"/>
      <c r="D9" s="1"/>
      <c r="E9" s="1"/>
      <c r="F9" s="1"/>
      <c r="G9" s="1"/>
      <c r="H9" s="1"/>
      <c r="I9" s="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0" customHeight="1">
      <c r="A10" s="1"/>
      <c r="B10" s="5"/>
      <c r="C10" s="29" t="s">
        <v>8</v>
      </c>
      <c r="D10" s="30"/>
      <c r="E10" s="30"/>
      <c r="F10" s="31"/>
      <c r="G10" s="32"/>
      <c r="H10" s="24"/>
      <c r="I10" s="25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5"/>
      <c r="C11" s="33"/>
      <c r="F11" s="13"/>
      <c r="G11" s="34"/>
      <c r="H11" s="35" t="s">
        <v>9</v>
      </c>
      <c r="I11" s="36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5"/>
      <c r="C12" s="33"/>
      <c r="F12" s="13"/>
      <c r="G12" s="34"/>
      <c r="H12" s="35" t="s">
        <v>10</v>
      </c>
      <c r="I12" s="36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5"/>
      <c r="C13" s="33"/>
      <c r="F13" s="13"/>
      <c r="G13" s="34"/>
      <c r="H13" s="35" t="s">
        <v>11</v>
      </c>
      <c r="I13" s="36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0" customHeight="1">
      <c r="A14" s="1"/>
      <c r="B14" s="5"/>
      <c r="C14" s="37"/>
      <c r="D14" s="27"/>
      <c r="E14" s="27"/>
      <c r="F14" s="18"/>
      <c r="G14" s="38"/>
      <c r="H14" s="39"/>
      <c r="I14" s="40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.0" customHeight="1">
      <c r="A15" s="1"/>
      <c r="B15" s="5"/>
      <c r="C15" s="41"/>
      <c r="D15" s="41"/>
      <c r="E15" s="41"/>
      <c r="F15" s="41"/>
      <c r="G15" s="42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5"/>
      <c r="C16" s="43" t="s">
        <v>12</v>
      </c>
      <c r="D16" s="9"/>
      <c r="E16" s="9"/>
      <c r="F16" s="10"/>
      <c r="G16" s="44" t="s">
        <v>13</v>
      </c>
      <c r="H16" s="9"/>
      <c r="I16" s="10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"/>
      <c r="C17" s="45" t="s">
        <v>14</v>
      </c>
      <c r="D17" s="46"/>
      <c r="E17" s="46"/>
      <c r="F17" s="47"/>
      <c r="G17" s="34"/>
      <c r="H17" s="35" t="s">
        <v>15</v>
      </c>
      <c r="I17" s="36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"/>
      <c r="C18" s="28" t="s">
        <v>7</v>
      </c>
      <c r="D18" s="27"/>
      <c r="E18" s="27"/>
      <c r="F18" s="18"/>
      <c r="G18" s="34"/>
      <c r="H18" s="48" t="s">
        <v>16</v>
      </c>
      <c r="I18" s="36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"/>
      <c r="C19" s="23" t="s">
        <v>17</v>
      </c>
      <c r="D19" s="49"/>
      <c r="E19" s="23" t="s">
        <v>18</v>
      </c>
      <c r="F19" s="50"/>
      <c r="G19" s="34"/>
      <c r="H19" s="35" t="s">
        <v>19</v>
      </c>
      <c r="I19" s="5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5"/>
      <c r="C20" s="52" t="s">
        <v>20</v>
      </c>
      <c r="D20" s="13"/>
      <c r="E20" s="53" t="s">
        <v>21</v>
      </c>
      <c r="F20" s="18"/>
      <c r="G20" s="34"/>
      <c r="H20" s="54" t="s">
        <v>22</v>
      </c>
      <c r="I20" s="5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5"/>
      <c r="C21" s="37"/>
      <c r="D21" s="18"/>
      <c r="E21" s="55" t="s">
        <v>23</v>
      </c>
      <c r="F21" s="56"/>
      <c r="G21" s="57"/>
      <c r="H21" s="58" t="s">
        <v>24</v>
      </c>
      <c r="I21" s="59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.0" customHeight="1">
      <c r="A22" s="1"/>
      <c r="B22" s="5"/>
      <c r="C22" s="41"/>
      <c r="D22" s="41"/>
      <c r="E22" s="41"/>
      <c r="F22" s="41"/>
      <c r="G22" s="1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5"/>
      <c r="C23" s="60" t="s">
        <v>25</v>
      </c>
      <c r="D23" s="61" t="s">
        <v>26</v>
      </c>
      <c r="E23" s="62"/>
      <c r="F23" s="63" t="s">
        <v>27</v>
      </c>
      <c r="G23" s="63" t="s">
        <v>28</v>
      </c>
      <c r="H23" s="63" t="s">
        <v>29</v>
      </c>
      <c r="I23" s="64" t="s">
        <v>30</v>
      </c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5"/>
      <c r="C24" s="65">
        <v>1.0</v>
      </c>
      <c r="D24" s="66" t="s">
        <v>31</v>
      </c>
      <c r="E24" s="67"/>
      <c r="F24" s="68" t="s">
        <v>32</v>
      </c>
      <c r="G24" s="69">
        <v>3300.0</v>
      </c>
      <c r="H24" s="70">
        <v>4.75</v>
      </c>
      <c r="I24" s="71">
        <f t="shared" ref="I24:I34" si="1">H24*G24</f>
        <v>15675</v>
      </c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5"/>
      <c r="C25" s="65"/>
      <c r="D25" s="72"/>
      <c r="E25" s="73"/>
      <c r="F25" s="68"/>
      <c r="G25" s="69"/>
      <c r="H25" s="70"/>
      <c r="I25" s="71">
        <f t="shared" si="1"/>
        <v>0</v>
      </c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5"/>
      <c r="C26" s="65"/>
      <c r="D26" s="74"/>
      <c r="E26" s="73"/>
      <c r="F26" s="68"/>
      <c r="G26" s="69"/>
      <c r="H26" s="70"/>
      <c r="I26" s="71">
        <f t="shared" si="1"/>
        <v>0</v>
      </c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5"/>
      <c r="C27" s="65"/>
      <c r="D27" s="74"/>
      <c r="E27" s="73"/>
      <c r="F27" s="75"/>
      <c r="G27" s="69"/>
      <c r="H27" s="70"/>
      <c r="I27" s="71">
        <f t="shared" si="1"/>
        <v>0</v>
      </c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5"/>
      <c r="C28" s="65"/>
      <c r="D28" s="74"/>
      <c r="E28" s="73"/>
      <c r="F28" s="75"/>
      <c r="G28" s="69"/>
      <c r="H28" s="70"/>
      <c r="I28" s="71">
        <f t="shared" si="1"/>
        <v>0</v>
      </c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5"/>
      <c r="C29" s="65"/>
      <c r="D29" s="76"/>
      <c r="E29" s="77"/>
      <c r="F29" s="75"/>
      <c r="G29" s="69"/>
      <c r="H29" s="70"/>
      <c r="I29" s="71">
        <f t="shared" si="1"/>
        <v>0</v>
      </c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5"/>
      <c r="C30" s="65"/>
      <c r="D30" s="76"/>
      <c r="E30" s="77"/>
      <c r="F30" s="75"/>
      <c r="G30" s="69"/>
      <c r="H30" s="70"/>
      <c r="I30" s="71">
        <f t="shared" si="1"/>
        <v>0</v>
      </c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"/>
      <c r="C31" s="65"/>
      <c r="D31" s="76"/>
      <c r="E31" s="77"/>
      <c r="F31" s="75"/>
      <c r="G31" s="69"/>
      <c r="H31" s="70"/>
      <c r="I31" s="71">
        <f t="shared" si="1"/>
        <v>0</v>
      </c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"/>
      <c r="C32" s="65"/>
      <c r="D32" s="76"/>
      <c r="E32" s="77"/>
      <c r="F32" s="75"/>
      <c r="G32" s="69"/>
      <c r="H32" s="70"/>
      <c r="I32" s="71">
        <f t="shared" si="1"/>
        <v>0</v>
      </c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"/>
      <c r="C33" s="65"/>
      <c r="D33" s="76"/>
      <c r="E33" s="77"/>
      <c r="F33" s="75"/>
      <c r="G33" s="69"/>
      <c r="H33" s="70"/>
      <c r="I33" s="71">
        <f t="shared" si="1"/>
        <v>0</v>
      </c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5"/>
      <c r="C34" s="65"/>
      <c r="D34" s="76"/>
      <c r="E34" s="77"/>
      <c r="F34" s="75"/>
      <c r="G34" s="69"/>
      <c r="H34" s="70"/>
      <c r="I34" s="71">
        <f t="shared" si="1"/>
        <v>0</v>
      </c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5"/>
      <c r="C35" s="65"/>
      <c r="D35" s="76"/>
      <c r="E35" s="73"/>
      <c r="F35" s="75"/>
      <c r="G35" s="69"/>
      <c r="H35" s="70"/>
      <c r="I35" s="71">
        <f t="shared" ref="I35:I55" si="2">G35*H35</f>
        <v>0</v>
      </c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5"/>
      <c r="C36" s="65"/>
      <c r="D36" s="76"/>
      <c r="E36" s="77"/>
      <c r="F36" s="75"/>
      <c r="G36" s="69"/>
      <c r="H36" s="70"/>
      <c r="I36" s="71">
        <f t="shared" si="2"/>
        <v>0</v>
      </c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5"/>
      <c r="C37" s="65"/>
      <c r="D37" s="76"/>
      <c r="E37" s="77"/>
      <c r="F37" s="75"/>
      <c r="G37" s="69"/>
      <c r="H37" s="70"/>
      <c r="I37" s="71">
        <f t="shared" si="2"/>
        <v>0</v>
      </c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5"/>
      <c r="C38" s="65"/>
      <c r="D38" s="76"/>
      <c r="E38" s="73"/>
      <c r="F38" s="75"/>
      <c r="G38" s="69"/>
      <c r="H38" s="70"/>
      <c r="I38" s="71">
        <f t="shared" si="2"/>
        <v>0</v>
      </c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5"/>
      <c r="C39" s="65"/>
      <c r="D39" s="76"/>
      <c r="E39" s="77"/>
      <c r="F39" s="75"/>
      <c r="G39" s="69"/>
      <c r="H39" s="70"/>
      <c r="I39" s="71">
        <f t="shared" si="2"/>
        <v>0</v>
      </c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5"/>
      <c r="C40" s="65"/>
      <c r="D40" s="76"/>
      <c r="E40" s="77"/>
      <c r="F40" s="68"/>
      <c r="G40" s="69"/>
      <c r="H40" s="70"/>
      <c r="I40" s="71">
        <f t="shared" si="2"/>
        <v>0</v>
      </c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5"/>
      <c r="C41" s="65"/>
      <c r="D41" s="76"/>
      <c r="E41" s="73"/>
      <c r="F41" s="68"/>
      <c r="G41" s="69"/>
      <c r="H41" s="70"/>
      <c r="I41" s="71">
        <f t="shared" si="2"/>
        <v>0</v>
      </c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5"/>
      <c r="C42" s="65"/>
      <c r="D42" s="76"/>
      <c r="E42" s="73"/>
      <c r="F42" s="68"/>
      <c r="G42" s="69"/>
      <c r="H42" s="70"/>
      <c r="I42" s="71">
        <f t="shared" si="2"/>
        <v>0</v>
      </c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5"/>
      <c r="C43" s="65"/>
      <c r="D43" s="76"/>
      <c r="E43" s="73"/>
      <c r="F43" s="68"/>
      <c r="G43" s="69"/>
      <c r="H43" s="70"/>
      <c r="I43" s="71">
        <f t="shared" si="2"/>
        <v>0</v>
      </c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5"/>
      <c r="C44" s="65"/>
      <c r="D44" s="76"/>
      <c r="E44" s="73"/>
      <c r="F44" s="68"/>
      <c r="G44" s="69"/>
      <c r="H44" s="70"/>
      <c r="I44" s="71">
        <f t="shared" si="2"/>
        <v>0</v>
      </c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5"/>
      <c r="C45" s="65"/>
      <c r="D45" s="76"/>
      <c r="E45" s="73"/>
      <c r="F45" s="68"/>
      <c r="G45" s="69"/>
      <c r="H45" s="70"/>
      <c r="I45" s="71">
        <f t="shared" si="2"/>
        <v>0</v>
      </c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5"/>
      <c r="C46" s="65"/>
      <c r="D46" s="76"/>
      <c r="E46" s="73"/>
      <c r="F46" s="68"/>
      <c r="G46" s="69"/>
      <c r="H46" s="70"/>
      <c r="I46" s="71">
        <f t="shared" si="2"/>
        <v>0</v>
      </c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5"/>
      <c r="C47" s="65"/>
      <c r="D47" s="76"/>
      <c r="E47" s="73"/>
      <c r="F47" s="68"/>
      <c r="G47" s="69"/>
      <c r="H47" s="70"/>
      <c r="I47" s="71">
        <f t="shared" si="2"/>
        <v>0</v>
      </c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5"/>
      <c r="C48" s="65"/>
      <c r="D48" s="76"/>
      <c r="E48" s="73"/>
      <c r="F48" s="75"/>
      <c r="G48" s="69"/>
      <c r="H48" s="70"/>
      <c r="I48" s="71">
        <f t="shared" si="2"/>
        <v>0</v>
      </c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5"/>
      <c r="C49" s="65"/>
      <c r="D49" s="76"/>
      <c r="E49" s="73"/>
      <c r="F49" s="75"/>
      <c r="G49" s="69"/>
      <c r="H49" s="70"/>
      <c r="I49" s="71">
        <f t="shared" si="2"/>
        <v>0</v>
      </c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5"/>
      <c r="C50" s="65"/>
      <c r="D50" s="76"/>
      <c r="E50" s="73"/>
      <c r="F50" s="75"/>
      <c r="G50" s="69"/>
      <c r="H50" s="70"/>
      <c r="I50" s="71">
        <f t="shared" si="2"/>
        <v>0</v>
      </c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5"/>
      <c r="C51" s="65"/>
      <c r="D51" s="76"/>
      <c r="E51" s="73"/>
      <c r="F51" s="75"/>
      <c r="G51" s="69"/>
      <c r="H51" s="70"/>
      <c r="I51" s="71">
        <f t="shared" si="2"/>
        <v>0</v>
      </c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5"/>
      <c r="C52" s="65"/>
      <c r="D52" s="76"/>
      <c r="E52" s="73"/>
      <c r="F52" s="75"/>
      <c r="G52" s="69"/>
      <c r="H52" s="70"/>
      <c r="I52" s="71">
        <f t="shared" si="2"/>
        <v>0</v>
      </c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5"/>
      <c r="C53" s="65"/>
      <c r="D53" s="76"/>
      <c r="E53" s="73"/>
      <c r="F53" s="75"/>
      <c r="G53" s="69"/>
      <c r="H53" s="70"/>
      <c r="I53" s="71">
        <f t="shared" si="2"/>
        <v>0</v>
      </c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5"/>
      <c r="C54" s="65"/>
      <c r="D54" s="76"/>
      <c r="E54" s="77"/>
      <c r="F54" s="75"/>
      <c r="G54" s="69"/>
      <c r="H54" s="70"/>
      <c r="I54" s="71">
        <f t="shared" si="2"/>
        <v>0</v>
      </c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5"/>
      <c r="C55" s="65"/>
      <c r="D55" s="76"/>
      <c r="E55" s="77"/>
      <c r="F55" s="75"/>
      <c r="G55" s="69"/>
      <c r="H55" s="70"/>
      <c r="I55" s="78">
        <f t="shared" si="2"/>
        <v>0</v>
      </c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5"/>
      <c r="C56" s="79"/>
      <c r="D56" s="80"/>
      <c r="E56" s="80"/>
      <c r="F56" s="80"/>
      <c r="G56" s="56"/>
      <c r="H56" s="81" t="s">
        <v>33</v>
      </c>
      <c r="I56" s="82">
        <f>SUM(I24:I55)</f>
        <v>15675</v>
      </c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6.0" customHeight="1">
      <c r="A57" s="1"/>
      <c r="B57" s="5"/>
      <c r="C57" s="1"/>
      <c r="D57" s="1"/>
      <c r="E57" s="1"/>
      <c r="F57" s="1"/>
      <c r="G57" s="1"/>
      <c r="H57" s="1"/>
      <c r="I57" s="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5"/>
      <c r="C58" s="83" t="s">
        <v>34</v>
      </c>
      <c r="D58" s="30"/>
      <c r="E58" s="30"/>
      <c r="F58" s="30"/>
      <c r="G58" s="30"/>
      <c r="H58" s="30"/>
      <c r="I58" s="3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2.5" customHeight="1">
      <c r="A59" s="1"/>
      <c r="B59" s="5"/>
      <c r="C59" s="84" t="s">
        <v>35</v>
      </c>
      <c r="D59" s="27"/>
      <c r="E59" s="27"/>
      <c r="F59" s="27"/>
      <c r="G59" s="27"/>
      <c r="H59" s="27"/>
      <c r="I59" s="18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6.0" customHeight="1">
      <c r="A60" s="1"/>
      <c r="B60" s="5"/>
      <c r="C60" s="1"/>
      <c r="D60" s="1"/>
      <c r="E60" s="1"/>
      <c r="F60" s="1"/>
      <c r="G60" s="1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5"/>
      <c r="C61" s="85" t="s">
        <v>36</v>
      </c>
      <c r="D61" s="86"/>
      <c r="E61" s="85" t="s">
        <v>37</v>
      </c>
      <c r="F61" s="87"/>
      <c r="G61" s="87"/>
      <c r="H61" s="87"/>
      <c r="I61" s="86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3.5" customHeight="1">
      <c r="A62" s="1"/>
      <c r="B62" s="5"/>
      <c r="C62" s="88"/>
      <c r="D62" s="27"/>
      <c r="E62" s="89"/>
      <c r="F62" s="27"/>
      <c r="G62" s="90"/>
      <c r="H62" s="27"/>
      <c r="I62" s="18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6.0" customHeight="1">
      <c r="A63" s="1"/>
      <c r="B63" s="91"/>
      <c r="C63" s="92"/>
      <c r="D63" s="92"/>
      <c r="E63" s="92"/>
      <c r="F63" s="92"/>
      <c r="G63" s="92"/>
      <c r="H63" s="92"/>
      <c r="I63" s="92"/>
      <c r="J63" s="9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9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9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3:D5"/>
    <mergeCell ref="E3:I3"/>
    <mergeCell ref="E4:I4"/>
    <mergeCell ref="C8:E8"/>
    <mergeCell ref="F8:I8"/>
    <mergeCell ref="C10:F14"/>
    <mergeCell ref="G16:I16"/>
    <mergeCell ref="C16:F16"/>
    <mergeCell ref="C18:F18"/>
    <mergeCell ref="C20:D21"/>
    <mergeCell ref="E20:F20"/>
    <mergeCell ref="E21:F21"/>
    <mergeCell ref="D23:E23"/>
    <mergeCell ref="D24:E24"/>
    <mergeCell ref="D29:E29"/>
    <mergeCell ref="D30:E30"/>
    <mergeCell ref="D31:E31"/>
    <mergeCell ref="D32:E32"/>
    <mergeCell ref="D33:E33"/>
    <mergeCell ref="D34:E34"/>
    <mergeCell ref="D36:E36"/>
    <mergeCell ref="C59:I59"/>
    <mergeCell ref="C61:D61"/>
    <mergeCell ref="E61:I61"/>
    <mergeCell ref="C62:D62"/>
    <mergeCell ref="E62:F62"/>
    <mergeCell ref="G62:I62"/>
    <mergeCell ref="D37:E37"/>
    <mergeCell ref="D39:E39"/>
    <mergeCell ref="D40:E40"/>
    <mergeCell ref="D54:E54"/>
    <mergeCell ref="D55:E55"/>
    <mergeCell ref="C56:G56"/>
    <mergeCell ref="C58:I5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.0"/>
    <col customWidth="1" min="3" max="3" width="5.29"/>
    <col customWidth="1" min="4" max="4" width="39.71"/>
    <col customWidth="1" min="5" max="5" width="35.0"/>
    <col customWidth="1" min="6" max="6" width="8.43"/>
    <col customWidth="1" min="7" max="7" width="9.86"/>
    <col customWidth="1" min="8" max="9" width="16.71"/>
    <col customWidth="1" min="10" max="10" width="1.14"/>
    <col customWidth="1" min="11" max="15" width="9.14"/>
    <col customWidth="1" min="16" max="16" width="14.0"/>
    <col customWidth="1" min="17" max="26" width="8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.0" customHeight="1">
      <c r="A2" s="1"/>
      <c r="B2" s="2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5"/>
      <c r="C3" s="6"/>
      <c r="D3" s="7"/>
      <c r="E3" s="8" t="s">
        <v>0</v>
      </c>
      <c r="F3" s="9"/>
      <c r="G3" s="9"/>
      <c r="H3" s="9"/>
      <c r="I3" s="10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"/>
      <c r="B4" s="5"/>
      <c r="C4" s="12"/>
      <c r="D4" s="13"/>
      <c r="E4" s="14" t="s">
        <v>1</v>
      </c>
      <c r="F4" s="15"/>
      <c r="G4" s="15"/>
      <c r="H4" s="15"/>
      <c r="I4" s="16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5"/>
      <c r="C5" s="17"/>
      <c r="D5" s="18"/>
      <c r="E5" s="19"/>
      <c r="F5" s="20"/>
      <c r="G5" s="20"/>
      <c r="H5" s="21" t="s">
        <v>2</v>
      </c>
      <c r="I5" s="22" t="s">
        <v>3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.0" customHeight="1">
      <c r="A6" s="1"/>
      <c r="B6" s="5"/>
      <c r="C6" s="1"/>
      <c r="D6" s="1"/>
      <c r="E6" s="1"/>
      <c r="F6" s="1"/>
      <c r="G6" s="1"/>
      <c r="H6" s="1"/>
      <c r="I6" s="1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5"/>
      <c r="C7" s="23" t="s">
        <v>4</v>
      </c>
      <c r="D7" s="24"/>
      <c r="E7" s="25"/>
      <c r="F7" s="23" t="s">
        <v>5</v>
      </c>
      <c r="G7" s="24"/>
      <c r="H7" s="24"/>
      <c r="I7" s="25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5"/>
      <c r="C8" s="26" t="s">
        <v>6</v>
      </c>
      <c r="D8" s="27"/>
      <c r="E8" s="18"/>
      <c r="F8" s="28" t="s">
        <v>7</v>
      </c>
      <c r="G8" s="27"/>
      <c r="H8" s="27"/>
      <c r="I8" s="18"/>
      <c r="J8" s="1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.0" customHeight="1">
      <c r="A9" s="1"/>
      <c r="B9" s="5"/>
      <c r="C9" s="1"/>
      <c r="D9" s="1"/>
      <c r="E9" s="1"/>
      <c r="F9" s="1"/>
      <c r="G9" s="1"/>
      <c r="H9" s="1"/>
      <c r="I9" s="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0" customHeight="1">
      <c r="A10" s="1"/>
      <c r="B10" s="5"/>
      <c r="C10" s="29" t="s">
        <v>38</v>
      </c>
      <c r="D10" s="30"/>
      <c r="E10" s="30"/>
      <c r="F10" s="31"/>
      <c r="G10" s="32"/>
      <c r="H10" s="24"/>
      <c r="I10" s="25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5"/>
      <c r="C11" s="33"/>
      <c r="F11" s="13"/>
      <c r="G11" s="34"/>
      <c r="H11" s="35" t="s">
        <v>9</v>
      </c>
      <c r="I11" s="36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5"/>
      <c r="C12" s="33"/>
      <c r="F12" s="13"/>
      <c r="G12" s="34"/>
      <c r="H12" s="35" t="s">
        <v>10</v>
      </c>
      <c r="I12" s="36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5"/>
      <c r="C13" s="33"/>
      <c r="F13" s="13"/>
      <c r="G13" s="34"/>
      <c r="H13" s="35" t="s">
        <v>11</v>
      </c>
      <c r="I13" s="36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0" customHeight="1">
      <c r="A14" s="1"/>
      <c r="B14" s="5"/>
      <c r="C14" s="37"/>
      <c r="D14" s="27"/>
      <c r="E14" s="27"/>
      <c r="F14" s="18"/>
      <c r="G14" s="38"/>
      <c r="H14" s="39"/>
      <c r="I14" s="40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.0" customHeight="1">
      <c r="A15" s="1"/>
      <c r="B15" s="5"/>
      <c r="C15" s="41"/>
      <c r="D15" s="41"/>
      <c r="E15" s="41"/>
      <c r="F15" s="41"/>
      <c r="G15" s="42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5"/>
      <c r="C16" s="43" t="s">
        <v>12</v>
      </c>
      <c r="D16" s="9"/>
      <c r="E16" s="9"/>
      <c r="F16" s="10"/>
      <c r="G16" s="44" t="s">
        <v>13</v>
      </c>
      <c r="H16" s="9"/>
      <c r="I16" s="10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"/>
      <c r="C17" s="45" t="s">
        <v>14</v>
      </c>
      <c r="D17" s="46"/>
      <c r="E17" s="46"/>
      <c r="F17" s="47"/>
      <c r="G17" s="34"/>
      <c r="H17" s="35" t="s">
        <v>15</v>
      </c>
      <c r="I17" s="36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"/>
      <c r="C18" s="28" t="s">
        <v>7</v>
      </c>
      <c r="D18" s="27"/>
      <c r="E18" s="27"/>
      <c r="F18" s="18"/>
      <c r="G18" s="34"/>
      <c r="H18" s="48" t="s">
        <v>16</v>
      </c>
      <c r="I18" s="36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"/>
      <c r="C19" s="23" t="s">
        <v>17</v>
      </c>
      <c r="D19" s="49"/>
      <c r="E19" s="23" t="s">
        <v>18</v>
      </c>
      <c r="F19" s="50"/>
      <c r="G19" s="34"/>
      <c r="H19" s="35" t="s">
        <v>19</v>
      </c>
      <c r="I19" s="5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5"/>
      <c r="C20" s="52" t="s">
        <v>20</v>
      </c>
      <c r="D20" s="13"/>
      <c r="E20" s="53" t="s">
        <v>21</v>
      </c>
      <c r="F20" s="18"/>
      <c r="G20" s="34"/>
      <c r="H20" s="54" t="s">
        <v>22</v>
      </c>
      <c r="I20" s="5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5"/>
      <c r="C21" s="37"/>
      <c r="D21" s="18"/>
      <c r="E21" s="55" t="s">
        <v>23</v>
      </c>
      <c r="F21" s="56"/>
      <c r="G21" s="57"/>
      <c r="H21" s="58" t="s">
        <v>24</v>
      </c>
      <c r="I21" s="59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.0" customHeight="1">
      <c r="A22" s="1"/>
      <c r="B22" s="5"/>
      <c r="C22" s="41"/>
      <c r="D22" s="41"/>
      <c r="E22" s="41"/>
      <c r="F22" s="41"/>
      <c r="G22" s="1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5"/>
      <c r="C23" s="60" t="s">
        <v>25</v>
      </c>
      <c r="D23" s="61" t="s">
        <v>26</v>
      </c>
      <c r="E23" s="62"/>
      <c r="F23" s="63" t="s">
        <v>27</v>
      </c>
      <c r="G23" s="63" t="s">
        <v>28</v>
      </c>
      <c r="H23" s="63" t="s">
        <v>29</v>
      </c>
      <c r="I23" s="64" t="s">
        <v>30</v>
      </c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5"/>
      <c r="C24" s="65">
        <v>1.0</v>
      </c>
      <c r="D24" s="76" t="s">
        <v>31</v>
      </c>
      <c r="E24" s="77"/>
      <c r="F24" s="75" t="s">
        <v>32</v>
      </c>
      <c r="G24" s="69">
        <v>17950.0</v>
      </c>
      <c r="H24" s="70">
        <v>4.75</v>
      </c>
      <c r="I24" s="71">
        <f t="shared" ref="I24:I36" si="1">H24*G24</f>
        <v>85262.5</v>
      </c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5"/>
      <c r="C25" s="65"/>
      <c r="D25" s="76"/>
      <c r="E25" s="77"/>
      <c r="F25" s="75"/>
      <c r="G25" s="69"/>
      <c r="H25" s="70"/>
      <c r="I25" s="71">
        <f t="shared" si="1"/>
        <v>0</v>
      </c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5"/>
      <c r="C26" s="65"/>
      <c r="D26" s="76"/>
      <c r="E26" s="77"/>
      <c r="F26" s="75"/>
      <c r="G26" s="69"/>
      <c r="H26" s="70"/>
      <c r="I26" s="71">
        <f t="shared" si="1"/>
        <v>0</v>
      </c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5"/>
      <c r="C27" s="65"/>
      <c r="D27" s="76"/>
      <c r="E27" s="77"/>
      <c r="F27" s="75"/>
      <c r="G27" s="69"/>
      <c r="H27" s="70"/>
      <c r="I27" s="71">
        <f t="shared" si="1"/>
        <v>0</v>
      </c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5"/>
      <c r="C28" s="65"/>
      <c r="D28" s="76"/>
      <c r="E28" s="77"/>
      <c r="F28" s="75"/>
      <c r="G28" s="69"/>
      <c r="H28" s="70"/>
      <c r="I28" s="71">
        <f t="shared" si="1"/>
        <v>0</v>
      </c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5"/>
      <c r="C29" s="65"/>
      <c r="D29" s="76"/>
      <c r="E29" s="77"/>
      <c r="F29" s="75"/>
      <c r="G29" s="69"/>
      <c r="H29" s="70"/>
      <c r="I29" s="71">
        <f t="shared" si="1"/>
        <v>0</v>
      </c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5"/>
      <c r="C30" s="65"/>
      <c r="D30" s="76"/>
      <c r="E30" s="77"/>
      <c r="F30" s="75"/>
      <c r="G30" s="69"/>
      <c r="H30" s="70"/>
      <c r="I30" s="71">
        <f t="shared" si="1"/>
        <v>0</v>
      </c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"/>
      <c r="C31" s="65"/>
      <c r="D31" s="76"/>
      <c r="E31" s="77"/>
      <c r="F31" s="75"/>
      <c r="G31" s="69"/>
      <c r="H31" s="70"/>
      <c r="I31" s="71">
        <f t="shared" si="1"/>
        <v>0</v>
      </c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"/>
      <c r="C32" s="65"/>
      <c r="D32" s="76"/>
      <c r="E32" s="73"/>
      <c r="F32" s="75"/>
      <c r="G32" s="69"/>
      <c r="H32" s="70"/>
      <c r="I32" s="71">
        <f t="shared" si="1"/>
        <v>0</v>
      </c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"/>
      <c r="C33" s="65"/>
      <c r="D33" s="76"/>
      <c r="E33" s="73"/>
      <c r="F33" s="75"/>
      <c r="G33" s="96"/>
      <c r="H33" s="70"/>
      <c r="I33" s="97">
        <f t="shared" si="1"/>
        <v>0</v>
      </c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5"/>
      <c r="C34" s="65"/>
      <c r="D34" s="76"/>
      <c r="E34" s="77"/>
      <c r="F34" s="68"/>
      <c r="G34" s="69"/>
      <c r="H34" s="70"/>
      <c r="I34" s="71">
        <f t="shared" si="1"/>
        <v>0</v>
      </c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5"/>
      <c r="C35" s="65"/>
      <c r="D35" s="76"/>
      <c r="E35" s="77"/>
      <c r="F35" s="68"/>
      <c r="G35" s="69"/>
      <c r="H35" s="70"/>
      <c r="I35" s="71">
        <f t="shared" si="1"/>
        <v>0</v>
      </c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5"/>
      <c r="C36" s="65"/>
      <c r="D36" s="76"/>
      <c r="E36" s="77"/>
      <c r="F36" s="68"/>
      <c r="G36" s="69"/>
      <c r="H36" s="70"/>
      <c r="I36" s="71">
        <f t="shared" si="1"/>
        <v>0</v>
      </c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5"/>
      <c r="C37" s="65"/>
      <c r="D37" s="76"/>
      <c r="E37" s="73"/>
      <c r="F37" s="68"/>
      <c r="G37" s="69"/>
      <c r="H37" s="70"/>
      <c r="I37" s="71">
        <f t="shared" ref="I37:I55" si="2">G37*H37</f>
        <v>0</v>
      </c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5"/>
      <c r="C38" s="65"/>
      <c r="D38" s="76"/>
      <c r="E38" s="73"/>
      <c r="F38" s="68"/>
      <c r="G38" s="69"/>
      <c r="H38" s="70"/>
      <c r="I38" s="71">
        <f t="shared" si="2"/>
        <v>0</v>
      </c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5"/>
      <c r="C39" s="65"/>
      <c r="D39" s="76"/>
      <c r="E39" s="73"/>
      <c r="F39" s="68"/>
      <c r="G39" s="69"/>
      <c r="H39" s="70"/>
      <c r="I39" s="71">
        <f t="shared" si="2"/>
        <v>0</v>
      </c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5"/>
      <c r="C40" s="65"/>
      <c r="D40" s="76"/>
      <c r="E40" s="73"/>
      <c r="F40" s="68"/>
      <c r="G40" s="69"/>
      <c r="H40" s="70"/>
      <c r="I40" s="71">
        <f t="shared" si="2"/>
        <v>0</v>
      </c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5"/>
      <c r="C41" s="65"/>
      <c r="D41" s="76"/>
      <c r="E41" s="73"/>
      <c r="F41" s="68"/>
      <c r="G41" s="69"/>
      <c r="H41" s="70"/>
      <c r="I41" s="71">
        <f t="shared" si="2"/>
        <v>0</v>
      </c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5"/>
      <c r="C42" s="65"/>
      <c r="D42" s="76"/>
      <c r="E42" s="73"/>
      <c r="F42" s="68"/>
      <c r="G42" s="69"/>
      <c r="H42" s="70"/>
      <c r="I42" s="71">
        <f t="shared" si="2"/>
        <v>0</v>
      </c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5"/>
      <c r="C43" s="65"/>
      <c r="D43" s="76"/>
      <c r="E43" s="77"/>
      <c r="F43" s="75"/>
      <c r="G43" s="69"/>
      <c r="H43" s="70"/>
      <c r="I43" s="71">
        <f t="shared" si="2"/>
        <v>0</v>
      </c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5"/>
      <c r="C44" s="65"/>
      <c r="D44" s="76"/>
      <c r="E44" s="77"/>
      <c r="F44" s="75"/>
      <c r="G44" s="69"/>
      <c r="H44" s="70"/>
      <c r="I44" s="71">
        <f t="shared" si="2"/>
        <v>0</v>
      </c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5"/>
      <c r="C45" s="65"/>
      <c r="D45" s="76"/>
      <c r="E45" s="77"/>
      <c r="F45" s="75"/>
      <c r="G45" s="69"/>
      <c r="H45" s="70"/>
      <c r="I45" s="71">
        <f t="shared" si="2"/>
        <v>0</v>
      </c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5"/>
      <c r="C46" s="65"/>
      <c r="D46" s="76"/>
      <c r="E46" s="77"/>
      <c r="F46" s="75"/>
      <c r="G46" s="69"/>
      <c r="H46" s="70"/>
      <c r="I46" s="71">
        <f t="shared" si="2"/>
        <v>0</v>
      </c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5"/>
      <c r="C47" s="65"/>
      <c r="D47" s="76"/>
      <c r="E47" s="77"/>
      <c r="F47" s="75"/>
      <c r="G47" s="69"/>
      <c r="H47" s="70"/>
      <c r="I47" s="71">
        <f t="shared" si="2"/>
        <v>0</v>
      </c>
      <c r="J47" s="11"/>
      <c r="K47" s="1"/>
      <c r="L47" s="1"/>
      <c r="M47" s="1"/>
      <c r="N47" s="1"/>
      <c r="O47" s="1"/>
      <c r="P47" s="98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5"/>
      <c r="C48" s="65"/>
      <c r="D48" s="76"/>
      <c r="E48" s="77"/>
      <c r="F48" s="75"/>
      <c r="G48" s="69"/>
      <c r="H48" s="70"/>
      <c r="I48" s="71">
        <f t="shared" si="2"/>
        <v>0</v>
      </c>
      <c r="J48" s="11"/>
      <c r="K48" s="1"/>
      <c r="L48" s="1"/>
      <c r="M48" s="1"/>
      <c r="N48" s="1"/>
      <c r="O48" s="1"/>
      <c r="P48" s="98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5"/>
      <c r="C49" s="65"/>
      <c r="D49" s="76"/>
      <c r="E49" s="77"/>
      <c r="F49" s="75"/>
      <c r="G49" s="69"/>
      <c r="H49" s="70"/>
      <c r="I49" s="71">
        <f t="shared" si="2"/>
        <v>0</v>
      </c>
      <c r="J49" s="11"/>
      <c r="K49" s="1"/>
      <c r="L49" s="1"/>
      <c r="M49" s="1"/>
      <c r="N49" s="1"/>
      <c r="O49" s="1"/>
      <c r="P49" s="9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5"/>
      <c r="C50" s="65"/>
      <c r="D50" s="76"/>
      <c r="E50" s="77"/>
      <c r="F50" s="75"/>
      <c r="G50" s="69"/>
      <c r="H50" s="70"/>
      <c r="I50" s="71">
        <f t="shared" si="2"/>
        <v>0</v>
      </c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5"/>
      <c r="C51" s="65"/>
      <c r="D51" s="76"/>
      <c r="E51" s="77"/>
      <c r="F51" s="75"/>
      <c r="G51" s="69"/>
      <c r="H51" s="70"/>
      <c r="I51" s="71">
        <f t="shared" si="2"/>
        <v>0</v>
      </c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5"/>
      <c r="C52" s="65"/>
      <c r="D52" s="76"/>
      <c r="E52" s="77"/>
      <c r="F52" s="75"/>
      <c r="G52" s="69"/>
      <c r="H52" s="70"/>
      <c r="I52" s="71">
        <f t="shared" si="2"/>
        <v>0</v>
      </c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5"/>
      <c r="C53" s="65"/>
      <c r="D53" s="76"/>
      <c r="E53" s="77"/>
      <c r="F53" s="75"/>
      <c r="G53" s="69"/>
      <c r="H53" s="70"/>
      <c r="I53" s="71">
        <f t="shared" si="2"/>
        <v>0</v>
      </c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5"/>
      <c r="C54" s="65"/>
      <c r="D54" s="76"/>
      <c r="E54" s="73"/>
      <c r="F54" s="75"/>
      <c r="G54" s="69"/>
      <c r="H54" s="70"/>
      <c r="I54" s="71">
        <f t="shared" si="2"/>
        <v>0</v>
      </c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5"/>
      <c r="C55" s="65"/>
      <c r="D55" s="76"/>
      <c r="E55" s="73"/>
      <c r="F55" s="75"/>
      <c r="G55" s="69"/>
      <c r="H55" s="99"/>
      <c r="I55" s="78">
        <f t="shared" si="2"/>
        <v>0</v>
      </c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5"/>
      <c r="C56" s="79"/>
      <c r="D56" s="80"/>
      <c r="E56" s="80"/>
      <c r="F56" s="80"/>
      <c r="G56" s="56"/>
      <c r="H56" s="81" t="s">
        <v>33</v>
      </c>
      <c r="I56" s="82">
        <f>SUM(I24:I55)</f>
        <v>85262.5</v>
      </c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6.0" customHeight="1">
      <c r="A57" s="1"/>
      <c r="B57" s="5"/>
      <c r="C57" s="1"/>
      <c r="D57" s="1"/>
      <c r="E57" s="1"/>
      <c r="F57" s="1"/>
      <c r="G57" s="1"/>
      <c r="H57" s="1"/>
      <c r="I57" s="100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5"/>
      <c r="C58" s="83" t="s">
        <v>34</v>
      </c>
      <c r="D58" s="30"/>
      <c r="E58" s="30"/>
      <c r="F58" s="30"/>
      <c r="G58" s="30"/>
      <c r="H58" s="30"/>
      <c r="I58" s="3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52.5" customHeight="1">
      <c r="A59" s="1"/>
      <c r="B59" s="5"/>
      <c r="C59" s="84" t="s">
        <v>35</v>
      </c>
      <c r="D59" s="27"/>
      <c r="E59" s="27"/>
      <c r="F59" s="27"/>
      <c r="G59" s="27"/>
      <c r="H59" s="27"/>
      <c r="I59" s="18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6.0" customHeight="1">
      <c r="A60" s="1"/>
      <c r="B60" s="5"/>
      <c r="C60" s="1"/>
      <c r="D60" s="1"/>
      <c r="E60" s="1"/>
      <c r="F60" s="1"/>
      <c r="G60" s="1"/>
      <c r="H60" s="1"/>
      <c r="I60" s="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5"/>
      <c r="C61" s="85" t="s">
        <v>36</v>
      </c>
      <c r="D61" s="86"/>
      <c r="E61" s="85" t="s">
        <v>37</v>
      </c>
      <c r="F61" s="87"/>
      <c r="G61" s="87"/>
      <c r="H61" s="87"/>
      <c r="I61" s="86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3.5" customHeight="1">
      <c r="A62" s="1"/>
      <c r="B62" s="5"/>
      <c r="C62" s="88"/>
      <c r="D62" s="27"/>
      <c r="E62" s="89"/>
      <c r="F62" s="27"/>
      <c r="G62" s="90"/>
      <c r="H62" s="27"/>
      <c r="I62" s="18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6.0" customHeight="1">
      <c r="A63" s="1"/>
      <c r="B63" s="91"/>
      <c r="C63" s="92"/>
      <c r="D63" s="92"/>
      <c r="E63" s="92"/>
      <c r="F63" s="92"/>
      <c r="G63" s="92"/>
      <c r="H63" s="92"/>
      <c r="I63" s="92"/>
      <c r="J63" s="9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9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9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D3:D5"/>
    <mergeCell ref="E3:I3"/>
    <mergeCell ref="E4:I4"/>
    <mergeCell ref="C8:E8"/>
    <mergeCell ref="F8:I8"/>
    <mergeCell ref="C10:F14"/>
    <mergeCell ref="G16:I16"/>
    <mergeCell ref="C16:F16"/>
    <mergeCell ref="C18:F18"/>
    <mergeCell ref="C20:D21"/>
    <mergeCell ref="E20:F20"/>
    <mergeCell ref="E21:F21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4:E34"/>
    <mergeCell ref="D35:E35"/>
    <mergeCell ref="D36:E36"/>
    <mergeCell ref="D43:E43"/>
    <mergeCell ref="D44:E44"/>
    <mergeCell ref="D45:E45"/>
    <mergeCell ref="D46:E46"/>
    <mergeCell ref="C56:G56"/>
    <mergeCell ref="C58:I58"/>
    <mergeCell ref="C59:I59"/>
    <mergeCell ref="C61:D61"/>
    <mergeCell ref="E61:I61"/>
    <mergeCell ref="C62:D62"/>
    <mergeCell ref="E62:F62"/>
    <mergeCell ref="G62:I62"/>
    <mergeCell ref="D47:E47"/>
    <mergeCell ref="D48:E48"/>
    <mergeCell ref="D49:E49"/>
    <mergeCell ref="D50:E50"/>
    <mergeCell ref="D51:E51"/>
    <mergeCell ref="D52:E52"/>
    <mergeCell ref="D53:E5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.0"/>
    <col customWidth="1" min="3" max="3" width="5.29"/>
    <col customWidth="1" min="4" max="4" width="39.71"/>
    <col customWidth="1" min="5" max="5" width="35.0"/>
    <col customWidth="1" min="6" max="6" width="15.86"/>
    <col customWidth="1" min="7" max="7" width="9.86"/>
    <col customWidth="1" min="8" max="8" width="16.71"/>
    <col customWidth="1" min="9" max="9" width="18.14"/>
    <col customWidth="1" min="10" max="10" width="1.14"/>
    <col customWidth="1" min="11" max="15" width="9.14"/>
    <col customWidth="1" min="16" max="16" width="14.0"/>
    <col customWidth="1" min="17" max="26" width="8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.0" customHeight="1">
      <c r="A2" s="1"/>
      <c r="B2" s="2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5"/>
      <c r="C3" s="6"/>
      <c r="D3" s="7"/>
      <c r="E3" s="8" t="s">
        <v>0</v>
      </c>
      <c r="F3" s="9"/>
      <c r="G3" s="9"/>
      <c r="H3" s="9"/>
      <c r="I3" s="10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"/>
      <c r="B4" s="5"/>
      <c r="C4" s="12"/>
      <c r="D4" s="13"/>
      <c r="E4" s="101"/>
      <c r="F4" s="15"/>
      <c r="G4" s="15"/>
      <c r="H4" s="15"/>
      <c r="I4" s="16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5"/>
      <c r="C5" s="17"/>
      <c r="D5" s="18"/>
      <c r="E5" s="19"/>
      <c r="F5" s="20"/>
      <c r="G5" s="20"/>
      <c r="H5" s="21" t="s">
        <v>2</v>
      </c>
      <c r="I5" s="22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6.0" customHeight="1">
      <c r="A6" s="1"/>
      <c r="B6" s="5"/>
      <c r="C6" s="1"/>
      <c r="D6" s="1"/>
      <c r="E6" s="1"/>
      <c r="F6" s="1"/>
      <c r="G6" s="1"/>
      <c r="H6" s="1"/>
      <c r="I6" s="1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5"/>
      <c r="C7" s="23" t="s">
        <v>4</v>
      </c>
      <c r="D7" s="24"/>
      <c r="E7" s="25"/>
      <c r="F7" s="23" t="s">
        <v>5</v>
      </c>
      <c r="G7" s="24"/>
      <c r="H7" s="24"/>
      <c r="I7" s="25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5"/>
      <c r="C8" s="102" t="s">
        <v>39</v>
      </c>
      <c r="D8" s="27"/>
      <c r="E8" s="18"/>
      <c r="F8" s="103"/>
      <c r="G8" s="27"/>
      <c r="H8" s="27"/>
      <c r="I8" s="18"/>
      <c r="J8" s="1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.0" customHeight="1">
      <c r="A9" s="1"/>
      <c r="B9" s="5"/>
      <c r="C9" s="1"/>
      <c r="D9" s="1"/>
      <c r="E9" s="1"/>
      <c r="F9" s="1"/>
      <c r="G9" s="1"/>
      <c r="H9" s="1"/>
      <c r="I9" s="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0" customHeight="1">
      <c r="A10" s="1"/>
      <c r="B10" s="5"/>
      <c r="C10" s="104" t="s">
        <v>40</v>
      </c>
      <c r="D10" s="30"/>
      <c r="E10" s="30"/>
      <c r="F10" s="31"/>
      <c r="G10" s="32"/>
      <c r="H10" s="24"/>
      <c r="I10" s="25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5"/>
      <c r="C11" s="33"/>
      <c r="F11" s="13"/>
      <c r="G11" s="34"/>
      <c r="H11" s="35"/>
      <c r="I11" s="36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5"/>
      <c r="C12" s="33"/>
      <c r="F12" s="13"/>
      <c r="G12" s="34"/>
      <c r="H12" s="35"/>
      <c r="I12" s="36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5"/>
      <c r="C13" s="33"/>
      <c r="F13" s="13"/>
      <c r="G13" s="34"/>
      <c r="H13" s="35"/>
      <c r="I13" s="36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0" customHeight="1">
      <c r="A14" s="1"/>
      <c r="B14" s="5"/>
      <c r="C14" s="37"/>
      <c r="D14" s="27"/>
      <c r="E14" s="27"/>
      <c r="F14" s="18"/>
      <c r="G14" s="38"/>
      <c r="H14" s="39"/>
      <c r="I14" s="40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.0" customHeight="1">
      <c r="A15" s="1"/>
      <c r="B15" s="5"/>
      <c r="C15" s="41"/>
      <c r="D15" s="41"/>
      <c r="E15" s="41"/>
      <c r="F15" s="41"/>
      <c r="G15" s="42"/>
      <c r="H15" s="1"/>
      <c r="I15" s="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5"/>
      <c r="C16" s="43" t="s">
        <v>12</v>
      </c>
      <c r="D16" s="9"/>
      <c r="E16" s="9"/>
      <c r="F16" s="10"/>
      <c r="G16" s="44" t="s">
        <v>13</v>
      </c>
      <c r="H16" s="9"/>
      <c r="I16" s="10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"/>
      <c r="C17" s="45" t="s">
        <v>14</v>
      </c>
      <c r="D17" s="46"/>
      <c r="E17" s="46"/>
      <c r="F17" s="47"/>
      <c r="G17" s="34"/>
      <c r="H17" s="35"/>
      <c r="I17" s="36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"/>
      <c r="C18" s="28"/>
      <c r="D18" s="27"/>
      <c r="E18" s="27"/>
      <c r="F18" s="18"/>
      <c r="G18" s="34"/>
      <c r="H18" s="35"/>
      <c r="I18" s="36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"/>
      <c r="C19" s="23" t="s">
        <v>17</v>
      </c>
      <c r="D19" s="49"/>
      <c r="E19" s="23" t="s">
        <v>18</v>
      </c>
      <c r="F19" s="50"/>
      <c r="G19" s="34"/>
      <c r="H19" s="35"/>
      <c r="I19" s="5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5"/>
      <c r="C20" s="52" t="s">
        <v>41</v>
      </c>
      <c r="D20" s="13"/>
      <c r="E20" s="53"/>
      <c r="F20" s="18"/>
      <c r="G20" s="34"/>
      <c r="H20" s="35"/>
      <c r="I20" s="5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5"/>
      <c r="C21" s="37"/>
      <c r="D21" s="18"/>
      <c r="E21" s="105"/>
      <c r="F21" s="18"/>
      <c r="G21" s="57"/>
      <c r="H21" s="58"/>
      <c r="I21" s="59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.0" customHeight="1">
      <c r="A22" s="1"/>
      <c r="B22" s="5"/>
      <c r="C22" s="41"/>
      <c r="D22" s="41"/>
      <c r="E22" s="41"/>
      <c r="F22" s="41"/>
      <c r="G22" s="1"/>
      <c r="H22" s="1"/>
      <c r="I22" s="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5"/>
      <c r="C23" s="106" t="s">
        <v>25</v>
      </c>
      <c r="D23" s="107" t="s">
        <v>26</v>
      </c>
      <c r="E23" s="67"/>
      <c r="F23" s="106" t="s">
        <v>27</v>
      </c>
      <c r="G23" s="106" t="s">
        <v>28</v>
      </c>
      <c r="H23" s="106" t="s">
        <v>29</v>
      </c>
      <c r="I23" s="106" t="s">
        <v>30</v>
      </c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9.0" customHeight="1">
      <c r="A24" s="1"/>
      <c r="B24" s="5"/>
      <c r="C24" s="108"/>
      <c r="D24" s="109"/>
      <c r="E24" s="67"/>
      <c r="F24" s="110"/>
      <c r="G24" s="111"/>
      <c r="H24" s="112"/>
      <c r="I24" s="113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"/>
      <c r="B25" s="5"/>
      <c r="C25" s="114"/>
      <c r="D25" s="115"/>
      <c r="E25" s="77"/>
      <c r="F25" s="116"/>
      <c r="G25" s="117"/>
      <c r="H25" s="118"/>
      <c r="I25" s="119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1.75" customHeight="1">
      <c r="A26" s="1"/>
      <c r="B26" s="5"/>
      <c r="C26" s="114"/>
      <c r="D26" s="115"/>
      <c r="E26" s="77"/>
      <c r="F26" s="116"/>
      <c r="G26" s="117"/>
      <c r="H26" s="118"/>
      <c r="I26" s="119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2.25" customHeight="1">
      <c r="A27" s="1"/>
      <c r="B27" s="5"/>
      <c r="C27" s="114"/>
      <c r="D27" s="115"/>
      <c r="E27" s="120"/>
      <c r="F27" s="116"/>
      <c r="G27" s="117"/>
      <c r="H27" s="118"/>
      <c r="I27" s="119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5.0" customHeight="1">
      <c r="A28" s="1"/>
      <c r="B28" s="5"/>
      <c r="C28" s="114"/>
      <c r="D28" s="121"/>
      <c r="E28" s="77"/>
      <c r="F28" s="116"/>
      <c r="G28" s="117"/>
      <c r="H28" s="118"/>
      <c r="I28" s="119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5.75" customHeight="1">
      <c r="A29" s="1"/>
      <c r="B29" s="5"/>
      <c r="C29" s="114"/>
      <c r="D29" s="115"/>
      <c r="E29" s="77"/>
      <c r="F29" s="116"/>
      <c r="G29" s="117"/>
      <c r="H29" s="118"/>
      <c r="I29" s="119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9.25" customHeight="1">
      <c r="A30" s="1"/>
      <c r="B30" s="5"/>
      <c r="C30" s="114"/>
      <c r="D30" s="115"/>
      <c r="E30" s="120"/>
      <c r="F30" s="116"/>
      <c r="G30" s="117"/>
      <c r="H30" s="118"/>
      <c r="I30" s="119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5"/>
      <c r="C31" s="114"/>
      <c r="D31" s="115"/>
      <c r="E31" s="120"/>
      <c r="F31" s="116"/>
      <c r="G31" s="117"/>
      <c r="H31" s="118"/>
      <c r="I31" s="119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8.5" customHeight="1">
      <c r="A32" s="1"/>
      <c r="B32" s="5"/>
      <c r="C32" s="114"/>
      <c r="D32" s="115"/>
      <c r="E32" s="120"/>
      <c r="F32" s="116"/>
      <c r="G32" s="117"/>
      <c r="H32" s="118"/>
      <c r="I32" s="119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1"/>
      <c r="B33" s="5"/>
      <c r="C33" s="114"/>
      <c r="D33" s="115"/>
      <c r="E33" s="77"/>
      <c r="F33" s="116"/>
      <c r="G33" s="117"/>
      <c r="H33" s="118"/>
      <c r="I33" s="119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75" customHeight="1">
      <c r="A34" s="1"/>
      <c r="B34" s="5"/>
      <c r="C34" s="114"/>
      <c r="D34" s="115"/>
      <c r="E34" s="77"/>
      <c r="F34" s="116"/>
      <c r="G34" s="117"/>
      <c r="H34" s="118"/>
      <c r="I34" s="119"/>
      <c r="J34" s="11"/>
      <c r="K34" s="1"/>
      <c r="L34" s="1"/>
      <c r="M34" s="1"/>
      <c r="N34" s="1"/>
      <c r="O34" s="1"/>
      <c r="P34" s="9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5.25" customHeight="1">
      <c r="A35" s="1"/>
      <c r="B35" s="5"/>
      <c r="C35" s="114"/>
      <c r="D35" s="115"/>
      <c r="E35" s="77"/>
      <c r="F35" s="116"/>
      <c r="G35" s="117"/>
      <c r="H35" s="118"/>
      <c r="I35" s="119"/>
      <c r="J35" s="11"/>
      <c r="K35" s="1"/>
      <c r="L35" s="1"/>
      <c r="M35" s="1"/>
      <c r="N35" s="1"/>
      <c r="O35" s="1"/>
      <c r="P35" s="9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9.25" customHeight="1">
      <c r="A36" s="1"/>
      <c r="B36" s="5"/>
      <c r="C36" s="114"/>
      <c r="D36" s="115"/>
      <c r="E36" s="77"/>
      <c r="F36" s="116"/>
      <c r="G36" s="117"/>
      <c r="H36" s="118"/>
      <c r="I36" s="119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6.0" customHeight="1">
      <c r="A37" s="1"/>
      <c r="B37" s="5"/>
      <c r="C37" s="114"/>
      <c r="D37" s="115"/>
      <c r="E37" s="77"/>
      <c r="F37" s="116"/>
      <c r="G37" s="117"/>
      <c r="H37" s="118"/>
      <c r="I37" s="119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4.25" customHeight="1">
      <c r="A38" s="1"/>
      <c r="B38" s="5"/>
      <c r="C38" s="114"/>
      <c r="D38" s="115"/>
      <c r="E38" s="77"/>
      <c r="F38" s="116"/>
      <c r="G38" s="117"/>
      <c r="H38" s="118"/>
      <c r="I38" s="119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1.75" customHeight="1">
      <c r="A39" s="1"/>
      <c r="B39" s="5"/>
      <c r="C39" s="114"/>
      <c r="D39" s="115"/>
      <c r="E39" s="77"/>
      <c r="F39" s="116"/>
      <c r="G39" s="117"/>
      <c r="H39" s="118"/>
      <c r="I39" s="119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8.75" customHeight="1">
      <c r="A40" s="1"/>
      <c r="B40" s="5"/>
      <c r="C40" s="122"/>
      <c r="D40" s="123"/>
      <c r="E40" s="124"/>
      <c r="F40" s="125"/>
      <c r="G40" s="126"/>
      <c r="H40" s="127"/>
      <c r="I40" s="128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5"/>
      <c r="C41" s="122"/>
      <c r="D41" s="129"/>
      <c r="E41" s="129"/>
      <c r="F41" s="129"/>
      <c r="G41" s="129"/>
      <c r="H41" s="130" t="s">
        <v>33</v>
      </c>
      <c r="I41" s="13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6.0" customHeight="1">
      <c r="A42" s="1"/>
      <c r="B42" s="5"/>
      <c r="C42" s="1"/>
      <c r="D42" s="1"/>
      <c r="E42" s="1"/>
      <c r="F42" s="1"/>
      <c r="G42" s="1"/>
      <c r="H42" s="1"/>
      <c r="I42" s="100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5"/>
      <c r="C43" s="83" t="s">
        <v>34</v>
      </c>
      <c r="D43" s="30"/>
      <c r="E43" s="30"/>
      <c r="F43" s="30"/>
      <c r="G43" s="30"/>
      <c r="H43" s="30"/>
      <c r="I43" s="3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2.5" customHeight="1">
      <c r="A44" s="1"/>
      <c r="B44" s="5"/>
      <c r="C44" s="84"/>
      <c r="D44" s="27"/>
      <c r="E44" s="27"/>
      <c r="F44" s="27"/>
      <c r="G44" s="27"/>
      <c r="H44" s="27"/>
      <c r="I44" s="18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6.0" customHeight="1">
      <c r="A45" s="1"/>
      <c r="B45" s="5"/>
      <c r="C45" s="1"/>
      <c r="D45" s="1"/>
      <c r="E45" s="1"/>
      <c r="F45" s="1"/>
      <c r="G45" s="1"/>
      <c r="H45" s="1"/>
      <c r="I45" s="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5"/>
      <c r="C46" s="85" t="s">
        <v>42</v>
      </c>
      <c r="D46" s="86"/>
      <c r="E46" s="85" t="s">
        <v>37</v>
      </c>
      <c r="F46" s="87"/>
      <c r="G46" s="87"/>
      <c r="H46" s="87"/>
      <c r="I46" s="86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3.5" customHeight="1">
      <c r="A47" s="1"/>
      <c r="B47" s="5"/>
      <c r="C47" s="88"/>
      <c r="D47" s="27"/>
      <c r="E47" s="89"/>
      <c r="F47" s="27"/>
      <c r="G47" s="90"/>
      <c r="H47" s="27"/>
      <c r="I47" s="18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6.0" customHeight="1">
      <c r="A48" s="1"/>
      <c r="B48" s="91"/>
      <c r="C48" s="92"/>
      <c r="D48" s="92"/>
      <c r="E48" s="92"/>
      <c r="F48" s="92"/>
      <c r="G48" s="92"/>
      <c r="H48" s="92"/>
      <c r="I48" s="92"/>
      <c r="J48" s="9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9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9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3:D5"/>
    <mergeCell ref="E3:I3"/>
    <mergeCell ref="E4:I4"/>
    <mergeCell ref="C8:E8"/>
    <mergeCell ref="F8:I8"/>
    <mergeCell ref="C10:F14"/>
    <mergeCell ref="G16:I16"/>
    <mergeCell ref="C16:F16"/>
    <mergeCell ref="C18:F18"/>
    <mergeCell ref="C20:D21"/>
    <mergeCell ref="E20:F20"/>
    <mergeCell ref="E21:F21"/>
    <mergeCell ref="D23:E23"/>
    <mergeCell ref="D24:E24"/>
    <mergeCell ref="D25:E25"/>
    <mergeCell ref="D26:E26"/>
    <mergeCell ref="D28:E28"/>
    <mergeCell ref="D29:E29"/>
    <mergeCell ref="D33:E33"/>
    <mergeCell ref="D34:E34"/>
    <mergeCell ref="D35:E35"/>
    <mergeCell ref="C44:I44"/>
    <mergeCell ref="C46:D46"/>
    <mergeCell ref="E46:I46"/>
    <mergeCell ref="C47:D47"/>
    <mergeCell ref="E47:F47"/>
    <mergeCell ref="G47:I47"/>
    <mergeCell ref="D36:E36"/>
    <mergeCell ref="D37:E37"/>
    <mergeCell ref="D38:E38"/>
    <mergeCell ref="D39:E39"/>
    <mergeCell ref="D40:E40"/>
    <mergeCell ref="C41:G41"/>
    <mergeCell ref="C43:I43"/>
  </mergeCells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2006-11-23T22:26:34Z</dcterms:created>
  <dc:creator>Teylo Laundos Aguiar</dc:creator>
</cp:coreProperties>
</file>